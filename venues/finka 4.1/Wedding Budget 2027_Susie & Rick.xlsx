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8a/Ia8KV0Q8utCiFtmRkzmiQHa9T31VILPNcQOzdjOc="/>
    </ext>
  </extLst>
</workbook>
</file>

<file path=xl/sharedStrings.xml><?xml version="1.0" encoding="utf-8"?>
<sst xmlns="http://schemas.openxmlformats.org/spreadsheetml/2006/main" count="52" uniqueCount="49">
  <si>
    <t>FULL DE LIQUIDACIÓ   LA FINKA 4.1</t>
  </si>
  <si>
    <t>COUPLE</t>
  </si>
  <si>
    <t>DATE</t>
  </si>
  <si>
    <t>Susie &amp; Rick</t>
  </si>
  <si>
    <t>XX/XX/2027</t>
  </si>
  <si>
    <t>GUESTS</t>
  </si>
  <si>
    <t>PRICES</t>
  </si>
  <si>
    <t>TOTAL €</t>
  </si>
  <si>
    <t>ADULT - MEDITERRANEAN MENU</t>
  </si>
  <si>
    <t>KIDS MENU</t>
  </si>
  <si>
    <t>STAFF MENU</t>
  </si>
  <si>
    <t>*photographer</t>
  </si>
  <si>
    <t>LATESNACK</t>
  </si>
  <si>
    <t>INCLUDED</t>
  </si>
  <si>
    <t>CEREMONY - HIVERNACLE (officiant not included)</t>
  </si>
  <si>
    <t>DJ + SOUND TECHNICIAN</t>
  </si>
  <si>
    <t>1st and 2nd HOURS OPEN BAR</t>
  </si>
  <si>
    <t>3rd HOUR OPEN BAR</t>
  </si>
  <si>
    <t>*for 100 or less guest</t>
  </si>
  <si>
    <t>4th HOUR OPEN BAR</t>
  </si>
  <si>
    <t>SGAE (Music Tax)</t>
  </si>
  <si>
    <t>SATRRY LIGHT (SALOON LED)</t>
  </si>
  <si>
    <t>DISCO BALLS</t>
  </si>
  <si>
    <t>MANAGEMENT OF EXTERNAL SUPPLIERS</t>
  </si>
  <si>
    <t>*in case you need it from us</t>
  </si>
  <si>
    <t>EXTRA BABYSITTER</t>
  </si>
  <si>
    <t>CLOAKROOM</t>
  </si>
  <si>
    <t>PHOTOBOOTH</t>
  </si>
  <si>
    <t>EXTRA STOVES</t>
  </si>
  <si>
    <t>BAIL</t>
  </si>
  <si>
    <t>Si / No</t>
  </si>
  <si>
    <t>BASE</t>
  </si>
  <si>
    <t>TOTAL</t>
  </si>
  <si>
    <t>MINIMUM BILLING SATURDAY (WITHOUT VAT)</t>
  </si>
  <si>
    <t>MINIMUM BILLING FRIDAY (WITHOUT VAT)</t>
  </si>
  <si>
    <t>EXTRAS NOT INCLUDED ON THE MINIMUM BILLING</t>
  </si>
  <si>
    <t>EXTRAS 1</t>
  </si>
  <si>
    <t>EXTRAS 2</t>
  </si>
  <si>
    <t>EXTRAS 3</t>
  </si>
  <si>
    <t>VAT INCLUDED</t>
  </si>
  <si>
    <t>TOTAL WEDDING</t>
  </si>
  <si>
    <t>TOTAL + VAT</t>
  </si>
  <si>
    <t>ENTREGAS A CUENTA</t>
  </si>
  <si>
    <t xml:space="preserve">FECHA </t>
  </si>
  <si>
    <t>EUROS</t>
  </si>
  <si>
    <t>TITULAR : RANVEX DESARROLLOS,S.L</t>
  </si>
  <si>
    <t>Nº CUENTA: ES81 0049 4700 3325 1736 3256</t>
  </si>
  <si>
    <t xml:space="preserve">CONCEPTO: </t>
  </si>
  <si>
    <t>IMPORTE PENDIENTE A LIQUIDAR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</si>
</sst>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7F7F7F"/>
      <name val="Calibri"/>
    </font>
    <font>
      <i/>
      <sz val="11.0"/>
      <color theme="1"/>
      <name val="Calibri"/>
    </font>
    <font>
      <b/>
      <i/>
      <sz val="11.0"/>
      <color rgb="FF7F7F7F"/>
      <name val="Calibri"/>
    </font>
    <font>
      <color theme="1"/>
      <name val="Calibri"/>
      <scheme val="minor"/>
    </font>
    <font>
      <b/>
      <sz val="11.0"/>
      <color theme="5"/>
      <name val="Calibri"/>
    </font>
    <font>
      <b/>
      <sz val="12.0"/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3" numFmtId="14" xfId="0" applyAlignment="1" applyBorder="1" applyFont="1" applyNumberFormat="1">
      <alignment vertical="center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Alignment="1" applyBorder="1" applyFont="1">
      <alignment readingOrder="0"/>
    </xf>
    <xf borderId="12" fillId="0" fontId="4" numFmtId="2" xfId="0" applyBorder="1" applyFont="1" applyNumberFormat="1"/>
    <xf borderId="13" fillId="0" fontId="4" numFmtId="4" xfId="0" applyAlignment="1" applyBorder="1" applyFont="1" applyNumberForma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0" fontId="4" numFmtId="2" xfId="0" applyBorder="1" applyFont="1" applyNumberFormat="1"/>
    <xf borderId="0" fillId="0" fontId="5" numFmtId="0" xfId="0" applyFont="1"/>
    <xf borderId="14" fillId="2" fontId="4" numFmtId="0" xfId="0" applyBorder="1" applyFill="1" applyFont="1"/>
    <xf borderId="15" fillId="2" fontId="4" numFmtId="0" xfId="0" applyBorder="1" applyFont="1"/>
    <xf borderId="16" fillId="2" fontId="4" numFmtId="2" xfId="0" applyBorder="1" applyFont="1" applyNumberFormat="1"/>
    <xf borderId="17" fillId="2" fontId="6" numFmtId="4" xfId="0" applyAlignment="1" applyBorder="1" applyFont="1" applyNumberFormat="1">
      <alignment horizontal="center" vertical="center"/>
    </xf>
    <xf borderId="16" fillId="0" fontId="4" numFmtId="2" xfId="0" applyAlignment="1" applyBorder="1" applyFont="1" applyNumberFormat="1">
      <alignment readingOrder="0"/>
    </xf>
    <xf borderId="0" fillId="0" fontId="3" numFmtId="4" xfId="0" applyFont="1" applyNumberFormat="1"/>
    <xf borderId="18" fillId="0" fontId="4" numFmtId="0" xfId="0" applyAlignment="1" applyBorder="1" applyFont="1">
      <alignment vertical="center"/>
    </xf>
    <xf borderId="19" fillId="0" fontId="4" numFmtId="0" xfId="0" applyAlignment="1" applyBorder="1" applyFont="1">
      <alignment vertical="center"/>
    </xf>
    <xf borderId="20" fillId="0" fontId="4" numFmtId="2" xfId="0" applyBorder="1" applyFont="1" applyNumberFormat="1"/>
    <xf borderId="4" fillId="0" fontId="4" numFmtId="4" xfId="0" applyAlignment="1" applyBorder="1" applyFont="1" applyNumberFormat="1">
      <alignment horizontal="center" vertical="center"/>
    </xf>
    <xf borderId="3" fillId="0" fontId="4" numFmtId="4" xfId="0" applyAlignment="1" applyBorder="1" applyFont="1" applyNumberFormat="1">
      <alignment horizontal="center" vertical="center"/>
    </xf>
    <xf borderId="21" fillId="0" fontId="4" numFmtId="0" xfId="0" applyBorder="1" applyFont="1"/>
    <xf borderId="22" fillId="0" fontId="4" numFmtId="0" xfId="0" applyAlignment="1" applyBorder="1" applyFont="1">
      <alignment horizontal="center"/>
    </xf>
    <xf borderId="23" fillId="0" fontId="4" numFmtId="2" xfId="0" applyBorder="1" applyFont="1" applyNumberFormat="1"/>
    <xf borderId="24" fillId="0" fontId="4" numFmtId="4" xfId="0" applyAlignment="1" applyBorder="1" applyFont="1" applyNumberFormat="1">
      <alignment horizontal="center" vertical="center"/>
    </xf>
    <xf borderId="0" fillId="0" fontId="7" numFmtId="0" xfId="0" applyFont="1"/>
    <xf borderId="1" fillId="0" fontId="1" numFmtId="0" xfId="0" applyAlignment="1" applyBorder="1" applyFont="1">
      <alignment horizontal="left" vertical="center"/>
    </xf>
    <xf borderId="4" fillId="0" fontId="1" numFmtId="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4" fillId="0" fontId="8" numFmtId="4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/>
    </xf>
    <xf borderId="26" fillId="0" fontId="2" numFmtId="0" xfId="0" applyBorder="1" applyFont="1"/>
    <xf borderId="27" fillId="0" fontId="2" numFmtId="0" xfId="0" applyBorder="1" applyFont="1"/>
    <xf borderId="25" fillId="0" fontId="4" numFmtId="0" xfId="0" applyAlignment="1" applyBorder="1" applyFont="1">
      <alignment horizontal="center" vertical="center"/>
    </xf>
    <xf borderId="15" fillId="0" fontId="4" numFmtId="4" xfId="0" applyAlignment="1" applyBorder="1" applyFont="1" applyNumberFormat="1">
      <alignment horizontal="center" vertical="center"/>
    </xf>
    <xf borderId="28" fillId="0" fontId="3" numFmtId="0" xfId="0" applyBorder="1" applyFont="1"/>
    <xf borderId="29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vertical="center"/>
    </xf>
    <xf borderId="2" fillId="0" fontId="9" numFmtId="0" xfId="0" applyAlignment="1" applyBorder="1" applyFont="1">
      <alignment vertical="center"/>
    </xf>
    <xf borderId="3" fillId="0" fontId="9" numFmtId="0" xfId="0" applyAlignment="1" applyBorder="1" applyFont="1">
      <alignment vertical="center"/>
    </xf>
    <xf borderId="4" fillId="0" fontId="9" numFmtId="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4" xfId="0" applyAlignment="1" applyFont="1" applyNumberFormat="1">
      <alignment horizontal="center" vertical="center"/>
    </xf>
    <xf borderId="14" fillId="0" fontId="3" numFmtId="14" xfId="0" applyAlignment="1" applyBorder="1" applyFont="1" applyNumberFormat="1">
      <alignment horizontal="center" vertical="center"/>
    </xf>
    <xf borderId="16" fillId="0" fontId="3" numFmtId="4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center" vertical="center"/>
    </xf>
    <xf borderId="20" fillId="0" fontId="3" numFmtId="4" xfId="0" applyAlignment="1" applyBorder="1" applyFont="1" applyNumberForma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0" fontId="10" numFmtId="0" xfId="0" applyBorder="1" applyFont="1"/>
    <xf borderId="36" fillId="0" fontId="10" numFmtId="0" xfId="0" applyBorder="1" applyFont="1"/>
    <xf borderId="37" fillId="0" fontId="10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13.0"/>
    <col customWidth="1" min="3" max="3" width="13.14"/>
    <col customWidth="1" min="4" max="4" width="13.43"/>
    <col customWidth="1" min="5" max="26" width="10.71"/>
  </cols>
  <sheetData>
    <row r="1" ht="14.25" customHeight="1">
      <c r="A1" s="1" t="s">
        <v>0</v>
      </c>
      <c r="B1" s="2"/>
      <c r="C1" s="2"/>
      <c r="D1" s="3"/>
    </row>
    <row r="2" ht="14.25" customHeight="1"/>
    <row r="3" ht="14.25" customHeight="1">
      <c r="A3" s="1" t="s">
        <v>1</v>
      </c>
      <c r="B3" s="2"/>
      <c r="C3" s="3"/>
      <c r="D3" s="4" t="s">
        <v>2</v>
      </c>
    </row>
    <row r="4" ht="14.25" customHeight="1">
      <c r="A4" s="5" t="s">
        <v>3</v>
      </c>
      <c r="B4" s="6"/>
      <c r="C4" s="7"/>
      <c r="D4" s="8" t="s">
        <v>4</v>
      </c>
    </row>
    <row r="5" ht="14.25" customHeight="1"/>
    <row r="6" ht="14.25" customHeight="1">
      <c r="B6" s="9" t="s">
        <v>5</v>
      </c>
      <c r="C6" s="10" t="s">
        <v>6</v>
      </c>
      <c r="D6" s="9" t="s">
        <v>7</v>
      </c>
    </row>
    <row r="7" ht="14.25" customHeight="1">
      <c r="A7" s="11" t="s">
        <v>8</v>
      </c>
      <c r="B7" s="12">
        <v>140.0</v>
      </c>
      <c r="C7" s="13">
        <v>189.0</v>
      </c>
      <c r="D7" s="14">
        <f t="shared" ref="D7:D9" si="1">C7*B7</f>
        <v>26460</v>
      </c>
    </row>
    <row r="8" ht="14.25" customHeight="1">
      <c r="A8" s="15" t="s">
        <v>9</v>
      </c>
      <c r="B8" s="16"/>
      <c r="C8" s="17">
        <v>65.0</v>
      </c>
      <c r="D8" s="14">
        <f t="shared" si="1"/>
        <v>0</v>
      </c>
    </row>
    <row r="9" ht="14.25" customHeight="1">
      <c r="A9" s="15" t="s">
        <v>10</v>
      </c>
      <c r="B9" s="16">
        <v>1.0</v>
      </c>
      <c r="C9" s="17">
        <f>C7/2</f>
        <v>94.5</v>
      </c>
      <c r="D9" s="14">
        <f t="shared" si="1"/>
        <v>94.5</v>
      </c>
      <c r="E9" s="18" t="s">
        <v>11</v>
      </c>
    </row>
    <row r="10" ht="14.25" customHeight="1">
      <c r="A10" s="19" t="s">
        <v>12</v>
      </c>
      <c r="B10" s="20"/>
      <c r="C10" s="21"/>
      <c r="D10" s="22" t="s">
        <v>13</v>
      </c>
    </row>
    <row r="11" ht="14.25" customHeight="1">
      <c r="A11" s="15" t="s">
        <v>14</v>
      </c>
      <c r="B11" s="16">
        <v>1.0</v>
      </c>
      <c r="C11" s="17">
        <v>2800.0</v>
      </c>
      <c r="D11" s="14">
        <f t="shared" ref="D11:D12" si="2">C11*B11</f>
        <v>2800</v>
      </c>
    </row>
    <row r="12" ht="14.25" customHeight="1">
      <c r="A12" s="15" t="s">
        <v>15</v>
      </c>
      <c r="B12" s="16">
        <v>1.0</v>
      </c>
      <c r="C12" s="17">
        <v>1400.0</v>
      </c>
      <c r="D12" s="14">
        <f t="shared" si="2"/>
        <v>1400</v>
      </c>
    </row>
    <row r="13" ht="14.25" customHeight="1">
      <c r="A13" s="19" t="s">
        <v>16</v>
      </c>
      <c r="B13" s="20"/>
      <c r="C13" s="21"/>
      <c r="D13" s="22" t="s">
        <v>13</v>
      </c>
    </row>
    <row r="14" ht="14.25" customHeight="1">
      <c r="A14" s="15" t="s">
        <v>17</v>
      </c>
      <c r="B14" s="16">
        <v>1.0</v>
      </c>
      <c r="C14" s="23">
        <v>1540.0</v>
      </c>
      <c r="D14" s="14">
        <f t="shared" ref="D14:D16" si="3">C14*B14</f>
        <v>1540</v>
      </c>
      <c r="E14" s="18" t="s">
        <v>18</v>
      </c>
    </row>
    <row r="15" ht="14.25" customHeight="1">
      <c r="A15" s="15" t="s">
        <v>19</v>
      </c>
      <c r="B15" s="16">
        <v>1.0</v>
      </c>
      <c r="C15" s="23">
        <v>1540.0</v>
      </c>
      <c r="D15" s="14">
        <f t="shared" si="3"/>
        <v>1540</v>
      </c>
      <c r="E15" s="18" t="s">
        <v>18</v>
      </c>
    </row>
    <row r="16" ht="14.25" customHeight="1">
      <c r="A16" s="15" t="s">
        <v>20</v>
      </c>
      <c r="B16" s="16">
        <v>100.0</v>
      </c>
      <c r="C16" s="17">
        <v>2.75</v>
      </c>
      <c r="D16" s="14">
        <f t="shared" si="3"/>
        <v>275</v>
      </c>
      <c r="E16" s="24"/>
    </row>
    <row r="17" ht="14.25" customHeight="1">
      <c r="A17" s="25" t="s">
        <v>21</v>
      </c>
      <c r="B17" s="26">
        <v>1.0</v>
      </c>
      <c r="C17" s="27">
        <v>600.0</v>
      </c>
      <c r="D17" s="28">
        <v>600.0</v>
      </c>
    </row>
    <row r="18" ht="14.25" customHeight="1">
      <c r="A18" s="25" t="s">
        <v>22</v>
      </c>
      <c r="B18" s="26">
        <v>1.0</v>
      </c>
      <c r="C18" s="27">
        <v>400.0</v>
      </c>
      <c r="D18" s="14">
        <f>C18*B18</f>
        <v>400</v>
      </c>
    </row>
    <row r="19" ht="14.25" customHeight="1">
      <c r="A19" s="15" t="s">
        <v>23</v>
      </c>
      <c r="B19" s="16">
        <v>1.0</v>
      </c>
      <c r="C19" s="17">
        <v>750.0</v>
      </c>
      <c r="D19" s="14"/>
      <c r="E19" s="18" t="s">
        <v>24</v>
      </c>
    </row>
    <row r="20" ht="14.25" customHeight="1">
      <c r="A20" s="15" t="s">
        <v>25</v>
      </c>
      <c r="B20" s="16"/>
      <c r="C20" s="17">
        <v>0.0</v>
      </c>
      <c r="D20" s="14">
        <f t="shared" ref="D20:D23" si="4">C20*B20</f>
        <v>0</v>
      </c>
    </row>
    <row r="21" ht="14.25" customHeight="1">
      <c r="A21" s="15" t="s">
        <v>26</v>
      </c>
      <c r="B21" s="16"/>
      <c r="C21" s="17">
        <v>0.0</v>
      </c>
      <c r="D21" s="14">
        <f t="shared" si="4"/>
        <v>0</v>
      </c>
    </row>
    <row r="22" ht="14.25" customHeight="1">
      <c r="A22" s="15" t="s">
        <v>27</v>
      </c>
      <c r="B22" s="16"/>
      <c r="C22" s="17">
        <v>0.0</v>
      </c>
      <c r="D22" s="14">
        <f t="shared" si="4"/>
        <v>0</v>
      </c>
    </row>
    <row r="23" ht="14.25" customHeight="1">
      <c r="A23" s="15" t="s">
        <v>28</v>
      </c>
      <c r="B23" s="16"/>
      <c r="C23" s="17">
        <v>0.0</v>
      </c>
      <c r="D23" s="29">
        <f t="shared" si="4"/>
        <v>0</v>
      </c>
    </row>
    <row r="24" ht="14.25" customHeight="1">
      <c r="A24" s="30" t="s">
        <v>29</v>
      </c>
      <c r="B24" s="31" t="s">
        <v>30</v>
      </c>
      <c r="C24" s="32">
        <v>750.0</v>
      </c>
      <c r="D24" s="33"/>
      <c r="E24" s="34" t="s">
        <v>31</v>
      </c>
    </row>
    <row r="25" ht="14.25" customHeight="1"/>
    <row r="26" ht="14.25" customHeight="1">
      <c r="A26" s="35" t="s">
        <v>32</v>
      </c>
      <c r="B26" s="2"/>
      <c r="C26" s="3"/>
      <c r="D26" s="36">
        <f>SUM(D7:D25)</f>
        <v>35109.5</v>
      </c>
    </row>
    <row r="27" ht="14.25" customHeight="1">
      <c r="A27" s="37" t="s">
        <v>33</v>
      </c>
      <c r="B27" s="38"/>
      <c r="C27" s="39"/>
      <c r="D27" s="40">
        <v>26000.0</v>
      </c>
    </row>
    <row r="28" ht="14.25" customHeight="1">
      <c r="A28" s="37" t="s">
        <v>34</v>
      </c>
      <c r="B28" s="41"/>
      <c r="C28" s="42"/>
      <c r="D28" s="40">
        <v>22000.0</v>
      </c>
    </row>
    <row r="29" ht="14.25" customHeight="1"/>
    <row r="30" ht="14.25" customHeight="1">
      <c r="A30" s="43" t="s">
        <v>35</v>
      </c>
      <c r="B30" s="44"/>
      <c r="C30" s="44"/>
      <c r="D30" s="45"/>
    </row>
    <row r="31" ht="14.25" customHeight="1">
      <c r="A31" s="16" t="s">
        <v>36</v>
      </c>
      <c r="B31" s="46"/>
      <c r="C31" s="45"/>
      <c r="D31" s="47">
        <v>0.0</v>
      </c>
    </row>
    <row r="32" ht="14.25" customHeight="1">
      <c r="A32" s="16" t="s">
        <v>37</v>
      </c>
      <c r="B32" s="46"/>
      <c r="C32" s="45"/>
      <c r="D32" s="47">
        <v>0.0</v>
      </c>
    </row>
    <row r="33" ht="14.25" customHeight="1">
      <c r="A33" s="16" t="s">
        <v>38</v>
      </c>
      <c r="B33" s="46"/>
      <c r="C33" s="45"/>
      <c r="D33" s="47">
        <v>0.0</v>
      </c>
    </row>
    <row r="34" ht="14.25" customHeight="1">
      <c r="A34" s="48"/>
      <c r="B34" s="49"/>
      <c r="C34" s="49"/>
      <c r="E34" s="34" t="s">
        <v>39</v>
      </c>
    </row>
    <row r="35" ht="14.25" customHeight="1">
      <c r="A35" s="50" t="s">
        <v>40</v>
      </c>
      <c r="B35" s="51"/>
      <c r="C35" s="52"/>
      <c r="D35" s="53">
        <f>SUM(D26,D31:D33)</f>
        <v>35109.5</v>
      </c>
    </row>
    <row r="36" ht="14.25" customHeight="1">
      <c r="A36" s="54" t="s">
        <v>41</v>
      </c>
      <c r="B36" s="2"/>
      <c r="C36" s="3"/>
      <c r="D36" s="53">
        <f>D35*1.1</f>
        <v>38620.45</v>
      </c>
    </row>
    <row r="37" ht="14.25" customHeight="1">
      <c r="A37" s="55"/>
      <c r="B37" s="55"/>
      <c r="C37" s="55"/>
      <c r="D37" s="56"/>
    </row>
    <row r="38" ht="14.25" customHeight="1"/>
    <row r="39" ht="14.25" customHeight="1">
      <c r="A39" s="1" t="s">
        <v>42</v>
      </c>
      <c r="B39" s="3"/>
    </row>
    <row r="40" ht="14.25" customHeight="1"/>
    <row r="41" ht="14.25" customHeight="1">
      <c r="A41" s="9" t="s">
        <v>43</v>
      </c>
      <c r="B41" s="9" t="s">
        <v>44</v>
      </c>
    </row>
    <row r="42" ht="14.25" customHeight="1">
      <c r="A42" s="57"/>
      <c r="B42" s="58"/>
    </row>
    <row r="43" ht="14.25" customHeight="1">
      <c r="A43" s="57"/>
      <c r="B43" s="58"/>
    </row>
    <row r="44" ht="14.25" customHeight="1">
      <c r="A44" s="57"/>
      <c r="B44" s="58"/>
    </row>
    <row r="45" ht="14.25" customHeight="1">
      <c r="A45" s="57"/>
      <c r="B45" s="58"/>
    </row>
    <row r="46" ht="14.25" customHeight="1">
      <c r="A46" s="57"/>
      <c r="B46" s="58"/>
    </row>
    <row r="47" ht="14.25" customHeight="1">
      <c r="A47" s="59"/>
      <c r="B47" s="60"/>
    </row>
    <row r="48" ht="14.25" customHeight="1">
      <c r="A48" s="4" t="s">
        <v>32</v>
      </c>
      <c r="B48" s="36">
        <f>SUM(B42:B47)</f>
        <v>0</v>
      </c>
    </row>
    <row r="49" ht="14.25" customHeight="1"/>
    <row r="50" ht="14.25" customHeight="1"/>
    <row r="51" ht="14.25" customHeight="1">
      <c r="A51" s="61" t="s">
        <v>45</v>
      </c>
      <c r="B51" s="62"/>
      <c r="C51" s="63"/>
    </row>
    <row r="52" ht="14.25" customHeight="1">
      <c r="A52" s="64" t="s">
        <v>46</v>
      </c>
      <c r="C52" s="65"/>
    </row>
    <row r="53" ht="14.25" customHeight="1">
      <c r="A53" s="64" t="s">
        <v>47</v>
      </c>
      <c r="C53" s="65"/>
    </row>
    <row r="54" ht="14.25" customHeight="1">
      <c r="A54" s="64"/>
      <c r="C54" s="65"/>
    </row>
    <row r="55" ht="14.25" customHeight="1">
      <c r="A55" s="66" t="s">
        <v>48</v>
      </c>
      <c r="B55" s="67"/>
      <c r="C55" s="68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33:C33"/>
    <mergeCell ref="A36:C36"/>
    <mergeCell ref="A39:B39"/>
    <mergeCell ref="A1:D1"/>
    <mergeCell ref="A3:C3"/>
    <mergeCell ref="A4:C4"/>
    <mergeCell ref="A26:C26"/>
    <mergeCell ref="A30:D30"/>
    <mergeCell ref="B31:C31"/>
    <mergeCell ref="B32:C3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2020-02-19T13:22:49Z</dcterms:created>
  <dc:creator>carmelo@thinkbigcapital.es</dc:creator>
</cp:coreProperties>
</file>